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_Trajectory" sheetId="2" state="visible" r:id="rId2"/>
    <sheet xmlns:r="http://schemas.openxmlformats.org/officeDocument/2006/relationships" name="Lineage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b val="1"/>
      <sz val="11"/>
    </font>
    <font>
      <name val="Calibri"/>
      <b val="1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4" fontId="2" fillId="0" borderId="0" pivotButton="0" quotePrefix="0" xfId="0"/>
    <xf numFmtId="0" fontId="5" fillId="2" borderId="0" applyAlignment="1" pivotButton="0" quotePrefix="0" xfId="0">
      <alignment horizont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CCTS Carbon Credit Accounting - Summary Report</t>
        </is>
      </c>
    </row>
    <row r="3">
      <c r="A3" s="2" t="inlineStr">
        <is>
          <t>Project Name:</t>
        </is>
      </c>
      <c r="B3" t="inlineStr">
        <is>
          <t>Synthetic 3-Strata A/R CCTS Project</t>
        </is>
      </c>
    </row>
    <row r="4">
      <c r="A4" s="2" t="inlineStr">
        <is>
          <t>Project ID:</t>
        </is>
      </c>
      <c r="B4" t="inlineStr">
        <is>
          <t>PRJ-SYNTH-01</t>
        </is>
      </c>
    </row>
    <row r="5">
      <c r="A5" s="2" t="inlineStr">
        <is>
          <t>Methodology:</t>
        </is>
      </c>
      <c r="B5" t="inlineStr">
        <is>
          <t>BM-FR05.002 v1.0</t>
        </is>
      </c>
    </row>
    <row r="6">
      <c r="A6" s="2" t="inlineStr">
        <is>
          <t>Crediting Period:</t>
        </is>
      </c>
      <c r="B6" t="inlineStr">
        <is>
          <t>2026-01-01 to 2045-12-31</t>
        </is>
      </c>
    </row>
    <row r="7">
      <c r="A7" s="2" t="inlineStr">
        <is>
          <t>Locked GWP Set:</t>
        </is>
      </c>
      <c r="B7" t="inlineStr">
        <is>
          <t>AR6</t>
        </is>
      </c>
    </row>
    <row r="8">
      <c r="A8" s="2" t="inlineStr">
        <is>
          <t>Total Net Anthropogenic Removals (tCO2e):</t>
        </is>
      </c>
      <c r="B8" t="n">
        <v>15</v>
      </c>
    </row>
    <row r="9">
      <c r="A9" s="2" t="inlineStr">
        <is>
          <t>Buffer Reserve Withholding (10%):</t>
        </is>
      </c>
      <c r="B9" t="n">
        <v>1.5</v>
      </c>
    </row>
    <row r="10">
      <c r="A10" s="2" t="inlineStr">
        <is>
          <t>Net Issuable Carbon Credits (CCCs):</t>
        </is>
      </c>
      <c r="B10" t="n">
        <v>13.5</v>
      </c>
    </row>
    <row r="13">
      <c r="A13" s="3" t="inlineStr">
        <is>
          <t>Calendar Year Vintage Breakdown</t>
        </is>
      </c>
    </row>
    <row r="14">
      <c r="A14" s="4" t="inlineStr">
        <is>
          <t>Vintage Year</t>
        </is>
      </c>
      <c r="B14" s="4" t="inlineStr">
        <is>
          <t>Issuable Credits (tCO2e)</t>
        </is>
      </c>
    </row>
    <row r="15">
      <c r="A15" s="5" t="n">
        <v>2026</v>
      </c>
      <c r="B15" s="6" t="n">
        <v>13.5</v>
      </c>
    </row>
    <row r="16">
      <c r="A16" s="2" t="inlineStr">
        <is>
          <t>Total</t>
        </is>
      </c>
      <c r="B16" s="7">
        <f>SUM(B15:B15)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8" t="inlineStr">
        <is>
          <t>Year</t>
        </is>
      </c>
      <c r="B1" s="8" t="inlineStr">
        <is>
          <t>Project Stock Change ΔC_P (tCO2e)</t>
        </is>
      </c>
      <c r="C1" s="8" t="inlineStr">
        <is>
          <t>Biomass Burning GHG_E (tCO2e)</t>
        </is>
      </c>
      <c r="D1" s="8" t="inlineStr">
        <is>
          <t>Actual Removals ΔC_ACTUAL (tCO2e)</t>
        </is>
      </c>
      <c r="E1" s="8" t="inlineStr">
        <is>
          <t>Baseline Removals ΔC_BSL (tCO2e)</t>
        </is>
      </c>
      <c r="F1" s="8" t="inlineStr">
        <is>
          <t>Displacement Leakage LK (tCO2e)</t>
        </is>
      </c>
      <c r="G1" s="8" t="inlineStr">
        <is>
          <t>Net Removals ΔC_AR (tCO2e)</t>
        </is>
      </c>
      <c r="H1" s="8" t="inlineStr">
        <is>
          <t>Cumulative tCCC (tCO2e)</t>
        </is>
      </c>
      <c r="I1" s="8" t="inlineStr">
        <is>
          <t>Period lCCC (tCO2e)</t>
        </is>
      </c>
      <c r="J1" s="8" t="inlineStr">
        <is>
          <t>Net Issuable (90%)</t>
        </is>
      </c>
    </row>
    <row r="2">
      <c r="A2" s="5" t="n">
        <v>2026</v>
      </c>
      <c r="B2" s="6" t="n">
        <v>15</v>
      </c>
      <c r="C2" s="6" t="n">
        <v>0</v>
      </c>
      <c r="D2" s="6">
        <f>B2-C2</f>
        <v/>
      </c>
      <c r="E2" s="6" t="n">
        <v>0</v>
      </c>
      <c r="F2" s="6" t="n">
        <v>0</v>
      </c>
      <c r="G2" s="6">
        <f>D2-E2-F2</f>
        <v/>
      </c>
      <c r="H2" s="6">
        <f>G2</f>
        <v/>
      </c>
      <c r="I2" s="6">
        <f>G2</f>
        <v/>
      </c>
      <c r="J2" s="6">
        <f>MAX(0, G2*0.90)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9" t="inlineStr">
        <is>
          <t>Node ID</t>
        </is>
      </c>
      <c r="B1" s="9" t="inlineStr">
        <is>
          <t>Tool / Methodology</t>
        </is>
      </c>
      <c r="C1" s="9" t="inlineStr">
        <is>
          <t>Equation Ref</t>
        </is>
      </c>
      <c r="D1" s="9" t="inlineStr">
        <is>
          <t>Page</t>
        </is>
      </c>
      <c r="E1" s="9" t="inlineStr">
        <is>
          <t>Inputs JSON</t>
        </is>
      </c>
      <c r="F1" s="9" t="inlineStr">
        <is>
          <t>Output Value</t>
        </is>
      </c>
      <c r="G1" s="9" t="inlineStr">
        <is>
          <t>Errata Applied</t>
        </is>
      </c>
      <c r="H1" s="9" t="inlineStr">
        <is>
          <t>Doc Description</t>
        </is>
      </c>
    </row>
    <row r="2">
      <c r="A2" t="inlineStr">
        <is>
          <t>07d5e4c8-7b5d-4152-bb83-a49fe25e2066</t>
        </is>
      </c>
      <c r="B2" t="inlineStr">
        <is>
          <t>BM-T-AR-0004</t>
        </is>
      </c>
      <c r="C2" t="inlineStr">
        <is>
          <t>Eq. 16</t>
        </is>
      </c>
      <c r="D2" t="n">
        <v>14</v>
      </c>
      <c r="E2" t="inlineStr">
        <is>
          <t>{'plot_biomass_values': [8.341534720221192, 7.579239731782714]}</t>
        </is>
      </c>
      <c r="F2" t="inlineStr">
        <is>
          <t>7.960387226001953</t>
        </is>
      </c>
      <c r="G2" t="inlineStr"/>
      <c r="H2" t="inlineStr">
        <is>
          <t>b_TREE,i = sum_p (b_TREE,p,i) / n_i</t>
        </is>
      </c>
    </row>
    <row r="3">
      <c r="A3" t="inlineStr">
        <is>
          <t>1280a589-b2d4-4db6-8f43-c86f915ebb63</t>
        </is>
      </c>
      <c r="B3" t="inlineStr">
        <is>
          <t>BM-T-AR-0004</t>
        </is>
      </c>
      <c r="C3" t="inlineStr">
        <is>
          <t>Eq. 17</t>
        </is>
      </c>
      <c r="D3" t="n">
        <v>14</v>
      </c>
      <c r="E3" t="inlineStr">
        <is>
          <t>{'plot_biomass_values': [8.341534720221192, 7.579239731782714]}</t>
        </is>
      </c>
      <c r="F3" t="inlineStr">
        <is>
          <t>0.29054682469921</t>
        </is>
      </c>
      <c r="G3" t="inlineStr"/>
      <c r="H3" t="inlineStr">
        <is>
          <t>s_i^2 = sample_variance(b_TREE,p,i)</t>
        </is>
      </c>
    </row>
    <row r="4">
      <c r="A4" t="inlineStr">
        <is>
          <t>4c9e2dae-d28e-4898-b841-8d542c7b3d0e</t>
        </is>
      </c>
      <c r="B4" t="inlineStr">
        <is>
          <t>BM-T-AR-0004</t>
        </is>
      </c>
      <c r="C4" t="inlineStr">
        <is>
          <t>Eq. 16</t>
        </is>
      </c>
      <c r="D4" t="n">
        <v>14</v>
      </c>
      <c r="E4" t="inlineStr">
        <is>
          <t>{'plot_biomass_values': [5.832037377402254, 8.265078263836928]}</t>
        </is>
      </c>
      <c r="F4" t="inlineStr">
        <is>
          <t>7.048557820619591</t>
        </is>
      </c>
      <c r="G4" t="inlineStr"/>
      <c r="H4" t="inlineStr">
        <is>
          <t>b_TREE,i = sum_p (b_TREE,p,i) / n_i</t>
        </is>
      </c>
    </row>
    <row r="5">
      <c r="A5" t="inlineStr">
        <is>
          <t>5b235cb9-5e8a-4c86-a6ac-431653dfaa21</t>
        </is>
      </c>
      <c r="B5" t="inlineStr">
        <is>
          <t>BM-T-AR-0004</t>
        </is>
      </c>
      <c r="C5" t="inlineStr">
        <is>
          <t>Eq. 17</t>
        </is>
      </c>
      <c r="D5" t="n">
        <v>14</v>
      </c>
      <c r="E5" t="inlineStr">
        <is>
          <t>{'plot_biomass_values': [5.832037377402254, 8.265078263836928]}</t>
        </is>
      </c>
      <c r="F5" t="inlineStr">
        <is>
          <t>2.9598439775314125</t>
        </is>
      </c>
      <c r="G5" t="inlineStr"/>
      <c r="H5" t="inlineStr">
        <is>
          <t>s_i^2 = sample_variance(b_TREE,p,i)</t>
        </is>
      </c>
    </row>
    <row r="6">
      <c r="A6" t="inlineStr">
        <is>
          <t>44e91d31-2837-4210-88b0-8cf8d9c2b3d0</t>
        </is>
      </c>
      <c r="B6" t="inlineStr">
        <is>
          <t>BM-T-AR-0004</t>
        </is>
      </c>
      <c r="C6" t="inlineStr">
        <is>
          <t>Eq. 16</t>
        </is>
      </c>
      <c r="D6" t="n">
        <v>14</v>
      </c>
      <c r="E6" t="inlineStr">
        <is>
          <t>{'plot_biomass_values': [2.7797463972751233, 3.3033610500997925]}</t>
        </is>
      </c>
      <c r="F6" t="inlineStr">
        <is>
          <t>3.041553723687458</t>
        </is>
      </c>
      <c r="G6" t="inlineStr"/>
      <c r="H6" t="inlineStr">
        <is>
          <t>b_TREE,i = sum_p (b_TREE,p,i) / n_i</t>
        </is>
      </c>
    </row>
    <row r="7">
      <c r="A7" t="inlineStr">
        <is>
          <t>6f6f99eb-8787-44bb-99f7-b5b8c2d74022</t>
        </is>
      </c>
      <c r="B7" t="inlineStr">
        <is>
          <t>BM-T-AR-0004</t>
        </is>
      </c>
      <c r="C7" t="inlineStr">
        <is>
          <t>Eq. 17</t>
        </is>
      </c>
      <c r="D7" t="n">
        <v>14</v>
      </c>
      <c r="E7" t="inlineStr">
        <is>
          <t>{'plot_biomass_values': [2.7797463972751233, 3.3033610500997925]}</t>
        </is>
      </c>
      <c r="F7" t="inlineStr">
        <is>
          <t>0.13708615232634944</t>
        </is>
      </c>
      <c r="G7" t="inlineStr"/>
      <c r="H7" t="inlineStr">
        <is>
          <t>s_i^2 = sample_variance(b_TREE,p,i)</t>
        </is>
      </c>
    </row>
    <row r="8">
      <c r="A8" t="inlineStr">
        <is>
          <t>d9daf5e1-51ba-410c-80b0-f7032ab71dd8</t>
        </is>
      </c>
      <c r="B8" t="inlineStr">
        <is>
          <t>BM-T-AR-0004</t>
        </is>
      </c>
      <c r="C8" t="inlineStr">
        <is>
          <t>Eq. 14</t>
        </is>
      </c>
      <c r="D8" t="n">
        <v>13</v>
      </c>
      <c r="E8" t="inlineStr">
        <is>
          <t>{'weights': [0.48, 0.32, 0.2], 'stratum_means': [7.960387226001953, 7.048557820619591, 3.041553723687458]}</t>
        </is>
      </c>
      <c r="F8" t="inlineStr">
        <is>
          <t>6.684835115816698</t>
        </is>
      </c>
      <c r="G8" t="inlineStr"/>
      <c r="H8" t="inlineStr">
        <is>
          <t>b_TREE = sum_i (w_i * b_TREE,i)</t>
        </is>
      </c>
    </row>
    <row r="9">
      <c r="A9" t="inlineStr">
        <is>
          <t>c6280c8b-0ac5-44ee-863d-a2a673421d1d</t>
        </is>
      </c>
      <c r="B9" t="inlineStr">
        <is>
          <t>BM-T-AR-0004</t>
        </is>
      </c>
      <c r="C9" t="inlineStr">
        <is>
          <t>Eq. 15</t>
        </is>
      </c>
      <c r="D9" t="n">
        <v>14</v>
      </c>
      <c r="E9" t="inlineStr">
        <is>
          <t>{'weights': [0.48, 0.32, 0.2], 'stratum_variances': [0.29054682469921, 2.9598439775314125, 0.13708615232634944], 'stratum_plot_counts': [2, 2, 2], 'overall_mean': 6.684835115816698, 't_val': 2.3533634348018233}</t>
        </is>
      </c>
      <c r="F9" t="inlineStr">
        <is>
          <t>0.15254432546989036</t>
        </is>
      </c>
      <c r="G9" t="inlineStr">
        <is>
          <t>E-AR4-07</t>
        </is>
      </c>
      <c r="H9" t="inlineStr">
        <is>
          <t>u_C = t_VAL * sqrt(sum_i (w_i^2 * s_i^2 / n_i)) / b_TREE</t>
        </is>
      </c>
    </row>
    <row r="10">
      <c r="A10" t="inlineStr">
        <is>
          <t>f58a67b9-1d1f-4fd4-a341-e363aede3321</t>
        </is>
      </c>
      <c r="B10" t="inlineStr">
        <is>
          <t>BM-T-AR-0004</t>
        </is>
      </c>
      <c r="C10" t="inlineStr">
        <is>
          <t>Eq. 13</t>
        </is>
      </c>
      <c r="D10" t="n">
        <v>12</v>
      </c>
      <c r="E10" t="inlineStr">
        <is>
          <t>{'total_area_ha': 125.0, 'mean_biomass_per_ha': 6.684835115816698}</t>
        </is>
      </c>
      <c r="F10" t="inlineStr">
        <is>
          <t>835.6043894770872</t>
        </is>
      </c>
      <c r="G10" t="inlineStr"/>
      <c r="H10" t="inlineStr">
        <is>
          <t>B_TREE = A * b_TREE</t>
        </is>
      </c>
    </row>
    <row r="11">
      <c r="A11" t="inlineStr">
        <is>
          <t>c40fd1b6-281c-4394-b1b2-f0a196e1a4de</t>
        </is>
      </c>
      <c r="B11" t="inlineStr">
        <is>
          <t>BM-T-AR-0004</t>
        </is>
      </c>
      <c r="C11" t="inlineStr">
        <is>
          <t>Eq. 12</t>
        </is>
      </c>
      <c r="D11" t="n">
        <v>12</v>
      </c>
      <c r="E11" t="inlineStr">
        <is>
          <t>{'b_tree_total': 835.6043894770872, 'cf_tree': 0.47}</t>
        </is>
      </c>
      <c r="F11" t="inlineStr">
        <is>
          <t>1440.0248978655136</t>
        </is>
      </c>
      <c r="G11" t="inlineStr"/>
      <c r="H11" t="inlineStr">
        <is>
          <t>C_TREE = 44/12 * CF_TREE * B_TREE</t>
        </is>
      </c>
    </row>
    <row r="12">
      <c r="A12" t="inlineStr">
        <is>
          <t>799e8b55-c159-4294-bb91-cfde5c2a179e</t>
        </is>
      </c>
      <c r="B12" t="inlineStr">
        <is>
          <t>BM-T-AR-0004</t>
        </is>
      </c>
      <c r="C12" t="inlineStr">
        <is>
          <t>Eq. 16</t>
        </is>
      </c>
      <c r="D12" t="n">
        <v>14</v>
      </c>
      <c r="E12" t="inlineStr">
        <is>
          <t>{'plot_biomass_values': [0.0, 0.0]}</t>
        </is>
      </c>
      <c r="F12" t="inlineStr">
        <is>
          <t>0.0</t>
        </is>
      </c>
      <c r="G12" t="inlineStr"/>
      <c r="H12" t="inlineStr">
        <is>
          <t>b_TREE,i = sum_p (b_TREE,p,i) / n_i</t>
        </is>
      </c>
    </row>
    <row r="13">
      <c r="A13" t="inlineStr">
        <is>
          <t>1fa51a09-bc51-49b9-8342-b88474fde6c4</t>
        </is>
      </c>
      <c r="B13" t="inlineStr">
        <is>
          <t>BM-T-AR-0004</t>
        </is>
      </c>
      <c r="C13" t="inlineStr">
        <is>
          <t>Eq. 17</t>
        </is>
      </c>
      <c r="D13" t="n">
        <v>14</v>
      </c>
      <c r="E13" t="inlineStr">
        <is>
          <t>{'plot_biomass_values': [0.0, 0.0]}</t>
        </is>
      </c>
      <c r="F13" t="inlineStr">
        <is>
          <t>0.0</t>
        </is>
      </c>
      <c r="G13" t="inlineStr"/>
      <c r="H13" t="inlineStr">
        <is>
          <t>s_i^2 = sample_variance(b_TREE,p,i)</t>
        </is>
      </c>
    </row>
    <row r="14">
      <c r="A14" t="inlineStr">
        <is>
          <t>8c668ece-4b5e-422f-adc8-84b5ebf0640d</t>
        </is>
      </c>
      <c r="B14" t="inlineStr">
        <is>
          <t>BM-T-AR-0004</t>
        </is>
      </c>
      <c r="C14" t="inlineStr">
        <is>
          <t>Eq. 16</t>
        </is>
      </c>
      <c r="D14" t="n">
        <v>14</v>
      </c>
      <c r="E14" t="inlineStr">
        <is>
          <t>{'plot_biomass_values': [0.0, 0.0]}</t>
        </is>
      </c>
      <c r="F14" t="inlineStr">
        <is>
          <t>0.0</t>
        </is>
      </c>
      <c r="G14" t="inlineStr"/>
      <c r="H14" t="inlineStr">
        <is>
          <t>b_TREE,i = sum_p (b_TREE,p,i) / n_i</t>
        </is>
      </c>
    </row>
    <row r="15">
      <c r="A15" t="inlineStr">
        <is>
          <t>a745fbbc-5f14-4d06-8f2b-897fb965515c</t>
        </is>
      </c>
      <c r="B15" t="inlineStr">
        <is>
          <t>BM-T-AR-0004</t>
        </is>
      </c>
      <c r="C15" t="inlineStr">
        <is>
          <t>Eq. 17</t>
        </is>
      </c>
      <c r="D15" t="n">
        <v>14</v>
      </c>
      <c r="E15" t="inlineStr">
        <is>
          <t>{'plot_biomass_values': [0.0, 0.0]}</t>
        </is>
      </c>
      <c r="F15" t="inlineStr">
        <is>
          <t>0.0</t>
        </is>
      </c>
      <c r="G15" t="inlineStr"/>
      <c r="H15" t="inlineStr">
        <is>
          <t>s_i^2 = sample_variance(b_TREE,p,i)</t>
        </is>
      </c>
    </row>
    <row r="16">
      <c r="A16" t="inlineStr">
        <is>
          <t>e23f5c8f-0ffb-4748-b4a2-ea9376b662e9</t>
        </is>
      </c>
      <c r="B16" t="inlineStr">
        <is>
          <t>BM-T-AR-0004</t>
        </is>
      </c>
      <c r="C16" t="inlineStr">
        <is>
          <t>Eq. 16</t>
        </is>
      </c>
      <c r="D16" t="n">
        <v>14</v>
      </c>
      <c r="E16" t="inlineStr">
        <is>
          <t>{'plot_biomass_values': [0.0, 0.0]}</t>
        </is>
      </c>
      <c r="F16" t="inlineStr">
        <is>
          <t>0.0</t>
        </is>
      </c>
      <c r="G16" t="inlineStr"/>
      <c r="H16" t="inlineStr">
        <is>
          <t>b_TREE,i = sum_p (b_TREE,p,i) / n_i</t>
        </is>
      </c>
    </row>
    <row r="17">
      <c r="A17" t="inlineStr">
        <is>
          <t>2b326392-ab03-414e-82f2-02ddc2ee488d</t>
        </is>
      </c>
      <c r="B17" t="inlineStr">
        <is>
          <t>BM-T-AR-0004</t>
        </is>
      </c>
      <c r="C17" t="inlineStr">
        <is>
          <t>Eq. 17</t>
        </is>
      </c>
      <c r="D17" t="n">
        <v>14</v>
      </c>
      <c r="E17" t="inlineStr">
        <is>
          <t>{'plot_biomass_values': [0.0, 0.0]}</t>
        </is>
      </c>
      <c r="F17" t="inlineStr">
        <is>
          <t>0.0</t>
        </is>
      </c>
      <c r="G17" t="inlineStr"/>
      <c r="H17" t="inlineStr">
        <is>
          <t>s_i^2 = sample_variance(b_TREE,p,i)</t>
        </is>
      </c>
    </row>
    <row r="18">
      <c r="A18" t="inlineStr">
        <is>
          <t>6e1dc783-0051-4416-865a-2664dbf88347</t>
        </is>
      </c>
      <c r="B18" t="inlineStr">
        <is>
          <t>BM-T-AR-0004</t>
        </is>
      </c>
      <c r="C18" t="inlineStr">
        <is>
          <t>Eq. 14</t>
        </is>
      </c>
      <c r="D18" t="n">
        <v>13</v>
      </c>
      <c r="E18" t="inlineStr">
        <is>
          <t>{'weights': [0.48, 0.32, 0.2], 'stratum_means': [0.0, 0.0, 0.0]}</t>
        </is>
      </c>
      <c r="F18" t="inlineStr">
        <is>
          <t>0.0</t>
        </is>
      </c>
      <c r="G18" t="inlineStr"/>
      <c r="H18" t="inlineStr">
        <is>
          <t>b_TREE = sum_i (w_i * b_TREE,i)</t>
        </is>
      </c>
    </row>
    <row r="19">
      <c r="A19" t="inlineStr">
        <is>
          <t>4e4c43e9-7c23-48f5-9e67-fbfda529de6e</t>
        </is>
      </c>
      <c r="B19" t="inlineStr">
        <is>
          <t>BM-T-AR-0004</t>
        </is>
      </c>
      <c r="C19" t="inlineStr">
        <is>
          <t>Eq. 15</t>
        </is>
      </c>
      <c r="D19" t="n">
        <v>14</v>
      </c>
      <c r="E19" t="inlineStr">
        <is>
          <t>{'weights': [0.48, 0.32, 0.2], 'stratum_variances': [0.0, 0.0, 0.0], 'stratum_plot_counts': [2, 2, 2], 'overall_mean': 0.0, 't_val': 2.3533634348018233}</t>
        </is>
      </c>
      <c r="F19" t="inlineStr">
        <is>
          <t>0.0</t>
        </is>
      </c>
      <c r="G19" t="inlineStr">
        <is>
          <t>E-AR4-07</t>
        </is>
      </c>
      <c r="H19" t="inlineStr">
        <is>
          <t>u_C = t_VAL * sqrt(sum_i (w_i^2 * s_i^2 / n_i)) / b_TREE</t>
        </is>
      </c>
    </row>
    <row r="20">
      <c r="A20" t="inlineStr">
        <is>
          <t>6793608c-7d7e-434f-b2b3-c5e29b858843</t>
        </is>
      </c>
      <c r="B20" t="inlineStr">
        <is>
          <t>BM-T-AR-0004</t>
        </is>
      </c>
      <c r="C20" t="inlineStr">
        <is>
          <t>Eq. 13</t>
        </is>
      </c>
      <c r="D20" t="n">
        <v>12</v>
      </c>
      <c r="E20" t="inlineStr">
        <is>
          <t>{'total_area_ha': 125.0, 'mean_biomass_per_ha': 0.0}</t>
        </is>
      </c>
      <c r="F20" t="inlineStr">
        <is>
          <t>0.0</t>
        </is>
      </c>
      <c r="G20" t="inlineStr"/>
      <c r="H20" t="inlineStr">
        <is>
          <t>B_TREE = A * b_TREE</t>
        </is>
      </c>
    </row>
    <row r="21">
      <c r="A21" t="inlineStr">
        <is>
          <t>123ee434-fe6c-411e-8ae2-5ad016222f3d</t>
        </is>
      </c>
      <c r="B21" t="inlineStr">
        <is>
          <t>BM-T-AR-0004</t>
        </is>
      </c>
      <c r="C21" t="inlineStr">
        <is>
          <t>Eq. 12</t>
        </is>
      </c>
      <c r="D21" t="n">
        <v>12</v>
      </c>
      <c r="E21" t="inlineStr">
        <is>
          <t>{'b_tree_total': 0.0, 'cf_tree': 0.47}</t>
        </is>
      </c>
      <c r="F21" t="inlineStr">
        <is>
          <t>0.0</t>
        </is>
      </c>
      <c r="G21" t="inlineStr"/>
      <c r="H21" t="inlineStr">
        <is>
          <t>C_TREE = 44/12 * CF_TREE * B_TREE</t>
        </is>
      </c>
    </row>
    <row r="22">
      <c r="A22" t="inlineStr">
        <is>
          <t>279c9919-619d-4a6a-b565-2c54f5bfd864</t>
        </is>
      </c>
      <c r="B22" t="inlineStr">
        <is>
          <t>BM-T-AR-0003</t>
        </is>
      </c>
      <c r="C22" t="inlineStr">
        <is>
          <t>Eq. 9</t>
        </is>
      </c>
      <c r="D22" t="n">
        <v>11</v>
      </c>
      <c r="E22" t="inlineStr">
        <is>
          <t>{'c_tree_i': 500.0, 'df_dw_pct': 2.0}</t>
        </is>
      </c>
      <c r="F22" t="inlineStr">
        <is>
          <t>10.0</t>
        </is>
      </c>
      <c r="G22" t="inlineStr">
        <is>
          <t>E-AR3-04</t>
        </is>
      </c>
      <c r="H22" t="inlineStr">
        <is>
          <t>C_DW,i,t = C_TREE,i,t * DF_DW / 100</t>
        </is>
      </c>
    </row>
    <row r="23">
      <c r="A23" t="inlineStr">
        <is>
          <t>06fa8d88-4751-4d39-9ee8-4e93542163c1</t>
        </is>
      </c>
      <c r="B23" t="inlineStr">
        <is>
          <t>BM-T-AR-0003</t>
        </is>
      </c>
      <c r="C23" t="inlineStr">
        <is>
          <t>Eq. 15</t>
        </is>
      </c>
      <c r="D23" t="n">
        <v>14</v>
      </c>
      <c r="E23" t="inlineStr">
        <is>
          <t>{'c_tree_i': 500.0, 'df_li_pct': 1.0}</t>
        </is>
      </c>
      <c r="F23" t="inlineStr">
        <is>
          <t>5.0</t>
        </is>
      </c>
      <c r="G23" t="inlineStr">
        <is>
          <t>E-AR3-04</t>
        </is>
      </c>
      <c r="H23" t="inlineStr">
        <is>
          <t>C_LI,i,t = C_TREE,i,t * DF_LI / 100</t>
        </is>
      </c>
    </row>
    <row r="24">
      <c r="A24" t="inlineStr">
        <is>
          <t>d52441b4-8ccd-4b87-b35a-df7e2934b287</t>
        </is>
      </c>
      <c r="B24" t="inlineStr">
        <is>
          <t>BM-T-AR-0006</t>
        </is>
      </c>
      <c r="C24" t="inlineStr">
        <is>
          <t>Eq. 1</t>
        </is>
      </c>
      <c r="D24" t="n">
        <v>5</v>
      </c>
      <c r="E24" t="inlineStr">
        <is>
          <t>{'soc_ref': 47.0, 'f_lu': 0.82, 'f_mg': 1.0, 'f_in': 0.92}</t>
        </is>
      </c>
      <c r="F24" t="inlineStr">
        <is>
          <t>35.4568</t>
        </is>
      </c>
      <c r="G24" t="inlineStr"/>
      <c r="H24" t="inlineStr">
        <is>
          <t>SOC_INITIAL,i = SOC_REF,i * f_LU,i * f_MG,i * f_IN,i</t>
        </is>
      </c>
    </row>
    <row r="25">
      <c r="A25" t="inlineStr">
        <is>
          <t>b08439ca-227c-4cd6-8abe-123437360413</t>
        </is>
      </c>
      <c r="B25" t="inlineStr">
        <is>
          <t>BM-T-AR-0006</t>
        </is>
      </c>
      <c r="C25" t="inlineStr">
        <is>
          <t>Eq. 2</t>
        </is>
      </c>
      <c r="D25" t="n">
        <v>5</v>
      </c>
      <c r="E25" t="inlineStr">
        <is>
          <t>{'soc_initial': 35.4568, 'disturbance_fraction': 0.0, 'threshold': 0.1, 'loss_factor': 0.1}</t>
        </is>
      </c>
      <c r="F25" t="inlineStr">
        <is>
          <t>0.0</t>
        </is>
      </c>
      <c r="G25" t="inlineStr"/>
      <c r="H25" t="inlineStr">
        <is>
          <t>SOC_LOSS,i = 0.1 * SOC_INITIAL,i</t>
        </is>
      </c>
    </row>
    <row r="26">
      <c r="A26" t="inlineStr">
        <is>
          <t>64da9180-742a-4bb5-9a71-f07782290152</t>
        </is>
      </c>
      <c r="B26" t="inlineStr">
        <is>
          <t>BM-T-AR-0006</t>
        </is>
      </c>
      <c r="C26" t="inlineStr">
        <is>
          <t>Eq. 6</t>
        </is>
      </c>
      <c r="D26" t="n">
        <v>6</v>
      </c>
      <c r="E26" t="inlineStr">
        <is>
          <t>{'soc_ref': 47.0, 'soc_initial': 35.4568, 'soc_loss': 0.0, 'transition_years': 20, 'max_rate_cap': 0.8}</t>
        </is>
      </c>
      <c r="F26" t="inlineStr">
        <is>
          <t>0.5771599999999999</t>
        </is>
      </c>
      <c r="G26" t="inlineStr">
        <is>
          <t>E-AR6-04</t>
        </is>
      </c>
      <c r="H26" t="inlineStr">
        <is>
          <t>dSOC_t,i = ( SOC_REF,i - (SOC_INITIAL,i - SOC_LOSS,i) ) / 20</t>
        </is>
      </c>
    </row>
    <row r="27">
      <c r="A27" t="inlineStr">
        <is>
          <t>018667ab-e386-4115-8bc6-a59a0011b00d</t>
        </is>
      </c>
      <c r="B27" t="inlineStr">
        <is>
          <t>BM-T-AR-0006</t>
        </is>
      </c>
      <c r="C27" t="inlineStr">
        <is>
          <t>Eq. 4_5_6</t>
        </is>
      </c>
      <c r="D27" t="n">
        <v>6</v>
      </c>
      <c r="E27" t="inlineStr">
        <is>
          <t>{'t': 1, 't_prep': 1, 'soc_loss': 0.0, 'accumulation_rate': 0.5771599999999999, 'transition_years': 20}</t>
        </is>
      </c>
      <c r="F27" t="inlineStr">
        <is>
          <t>-0.0</t>
        </is>
      </c>
      <c r="G27" t="inlineStr">
        <is>
          <t>E-AR6-04</t>
        </is>
      </c>
      <c r="H27" t="inlineStr">
        <is>
          <t>dSOC_t,i by project year t</t>
        </is>
      </c>
    </row>
    <row r="28">
      <c r="A28" t="inlineStr">
        <is>
          <t>afc6f87c-a404-4fea-b3c5-6695027aea19</t>
        </is>
      </c>
      <c r="B28" t="inlineStr">
        <is>
          <t>BM-T-AR-0006</t>
        </is>
      </c>
      <c r="C28" t="inlineStr">
        <is>
          <t>Eq. 4_5_6</t>
        </is>
      </c>
      <c r="D28" t="n">
        <v>6</v>
      </c>
      <c r="E28" t="inlineStr">
        <is>
          <t>{'t': 2, 't_prep': 1, 'soc_loss': 0.0, 'accumulation_rate': 0.5771599999999999, 'transition_years': 20}</t>
        </is>
      </c>
      <c r="F28" t="inlineStr">
        <is>
          <t>0.5771599999999999</t>
        </is>
      </c>
      <c r="G28" t="inlineStr">
        <is>
          <t>E-AR6-04</t>
        </is>
      </c>
      <c r="H28" t="inlineStr">
        <is>
          <t>dSOC_t,i by project year t</t>
        </is>
      </c>
    </row>
    <row r="29">
      <c r="A29" t="inlineStr">
        <is>
          <t>3d9ffcdc-5e3e-44c6-8331-f649b00fea03</t>
        </is>
      </c>
      <c r="B29" t="inlineStr">
        <is>
          <t>BM-T-AR-0006</t>
        </is>
      </c>
      <c r="C29" t="inlineStr">
        <is>
          <t>Eq. 4_5_6</t>
        </is>
      </c>
      <c r="D29" t="n">
        <v>6</v>
      </c>
      <c r="E29" t="inlineStr">
        <is>
          <t>{'t': 3, 't_prep': 1, 'soc_loss': 0.0, 'accumulation_rate': 0.5771599999999999, 'transition_years': 20}</t>
        </is>
      </c>
      <c r="F29" t="inlineStr">
        <is>
          <t>0.5771599999999999</t>
        </is>
      </c>
      <c r="G29" t="inlineStr">
        <is>
          <t>E-AR6-04</t>
        </is>
      </c>
      <c r="H29" t="inlineStr">
        <is>
          <t>dSOC_t,i by project year t</t>
        </is>
      </c>
    </row>
    <row r="30">
      <c r="A30" t="inlineStr">
        <is>
          <t>cbd97a25-e1d6-4ef7-9ce0-0d94029a4b96</t>
        </is>
      </c>
      <c r="B30" t="inlineStr">
        <is>
          <t>BM-T-AR-0006</t>
        </is>
      </c>
      <c r="C30" t="inlineStr">
        <is>
          <t>Eq. 4_5_6</t>
        </is>
      </c>
      <c r="D30" t="n">
        <v>6</v>
      </c>
      <c r="E30" t="inlineStr">
        <is>
          <t>{'t': 4, 't_prep': 1, 'soc_loss': 0.0, 'accumulation_rate': 0.5771599999999999, 'transition_years': 20}</t>
        </is>
      </c>
      <c r="F30" t="inlineStr">
        <is>
          <t>0.5771599999999999</t>
        </is>
      </c>
      <c r="G30" t="inlineStr">
        <is>
          <t>E-AR6-04</t>
        </is>
      </c>
      <c r="H30" t="inlineStr">
        <is>
          <t>dSOC_t,i by project year t</t>
        </is>
      </c>
    </row>
    <row r="31">
      <c r="A31" t="inlineStr">
        <is>
          <t>fe56db67-1afd-415c-8db6-63411168aadc</t>
        </is>
      </c>
      <c r="B31" t="inlineStr">
        <is>
          <t>BM-T-AR-0006</t>
        </is>
      </c>
      <c r="C31" t="inlineStr">
        <is>
          <t>Eq. 4_5_6</t>
        </is>
      </c>
      <c r="D31" t="n">
        <v>6</v>
      </c>
      <c r="E31" t="inlineStr">
        <is>
          <t>{'t': 5, 't_prep': 1, 'soc_loss': 0.0, 'accumulation_rate': 0.5771599999999999, 'transition_years': 20}</t>
        </is>
      </c>
      <c r="F31" t="inlineStr">
        <is>
          <t>0.5771599999999999</t>
        </is>
      </c>
      <c r="G31" t="inlineStr">
        <is>
          <t>E-AR6-04</t>
        </is>
      </c>
      <c r="H31" t="inlineStr">
        <is>
          <t>dSOC_t,i by project year t</t>
        </is>
      </c>
    </row>
    <row r="32">
      <c r="A32" t="inlineStr">
        <is>
          <t>3aed4a7f-05e3-4c75-9117-74d9292ed47c</t>
        </is>
      </c>
      <c r="B32" t="inlineStr">
        <is>
          <t>BM-T-AR-0006</t>
        </is>
      </c>
      <c r="C32" t="inlineStr">
        <is>
          <t>Eq. 4_5_6</t>
        </is>
      </c>
      <c r="D32" t="n">
        <v>6</v>
      </c>
      <c r="E32" t="inlineStr">
        <is>
          <t>{'t': 6, 't_prep': 1, 'soc_loss': 0.0, 'accumulation_rate': 0.5771599999999999, 'transition_years': 20}</t>
        </is>
      </c>
      <c r="F32" t="inlineStr">
        <is>
          <t>0.5771599999999999</t>
        </is>
      </c>
      <c r="G32" t="inlineStr">
        <is>
          <t>E-AR6-04</t>
        </is>
      </c>
      <c r="H32" t="inlineStr">
        <is>
          <t>dSOC_t,i by project year t</t>
        </is>
      </c>
    </row>
    <row r="33">
      <c r="A33" t="inlineStr">
        <is>
          <t>f4d23c7c-198c-482c-b509-a5336989f287</t>
        </is>
      </c>
      <c r="B33" t="inlineStr">
        <is>
          <t>BM-T-AR-0006</t>
        </is>
      </c>
      <c r="C33" t="inlineStr">
        <is>
          <t>Eq. 4_5_6</t>
        </is>
      </c>
      <c r="D33" t="n">
        <v>6</v>
      </c>
      <c r="E33" t="inlineStr">
        <is>
          <t>{'t': 7, 't_prep': 1, 'soc_loss': 0.0, 'accumulation_rate': 0.5771599999999999, 'transition_years': 20}</t>
        </is>
      </c>
      <c r="F33" t="inlineStr">
        <is>
          <t>0.5771599999999999</t>
        </is>
      </c>
      <c r="G33" t="inlineStr">
        <is>
          <t>E-AR6-04</t>
        </is>
      </c>
      <c r="H33" t="inlineStr">
        <is>
          <t>dSOC_t,i by project year t</t>
        </is>
      </c>
    </row>
    <row r="34">
      <c r="A34" t="inlineStr">
        <is>
          <t>58a3da0a-a39c-4204-9aa9-c1e68e77e665</t>
        </is>
      </c>
      <c r="B34" t="inlineStr">
        <is>
          <t>BM-T-AR-0006</t>
        </is>
      </c>
      <c r="C34" t="inlineStr">
        <is>
          <t>Eq. 4_5_6</t>
        </is>
      </c>
      <c r="D34" t="n">
        <v>6</v>
      </c>
      <c r="E34" t="inlineStr">
        <is>
          <t>{'t': 8, 't_prep': 1, 'soc_loss': 0.0, 'accumulation_rate': 0.5771599999999999, 'transition_years': 20}</t>
        </is>
      </c>
      <c r="F34" t="inlineStr">
        <is>
          <t>0.5771599999999999</t>
        </is>
      </c>
      <c r="G34" t="inlineStr">
        <is>
          <t>E-AR6-04</t>
        </is>
      </c>
      <c r="H34" t="inlineStr">
        <is>
          <t>dSOC_t,i by project year t</t>
        </is>
      </c>
    </row>
    <row r="35">
      <c r="A35" t="inlineStr">
        <is>
          <t>12f17c83-9b14-4ef5-bd39-51b351a60afd</t>
        </is>
      </c>
      <c r="B35" t="inlineStr">
        <is>
          <t>BM-T-AR-0006</t>
        </is>
      </c>
      <c r="C35" t="inlineStr">
        <is>
          <t>Eq. 4_5_6</t>
        </is>
      </c>
      <c r="D35" t="n">
        <v>6</v>
      </c>
      <c r="E35" t="inlineStr">
        <is>
          <t>{'t': 9, 't_prep': 1, 'soc_loss': 0.0, 'accumulation_rate': 0.5771599999999999, 'transition_years': 20}</t>
        </is>
      </c>
      <c r="F35" t="inlineStr">
        <is>
          <t>0.5771599999999999</t>
        </is>
      </c>
      <c r="G35" t="inlineStr">
        <is>
          <t>E-AR6-04</t>
        </is>
      </c>
      <c r="H35" t="inlineStr">
        <is>
          <t>dSOC_t,i by project year t</t>
        </is>
      </c>
    </row>
    <row r="36">
      <c r="A36" t="inlineStr">
        <is>
          <t>68b197db-670a-4074-9da4-9a36b9a2cd06</t>
        </is>
      </c>
      <c r="B36" t="inlineStr">
        <is>
          <t>BM-T-AR-0006</t>
        </is>
      </c>
      <c r="C36" t="inlineStr">
        <is>
          <t>Eq. 4_5_6</t>
        </is>
      </c>
      <c r="D36" t="n">
        <v>6</v>
      </c>
      <c r="E36" t="inlineStr">
        <is>
          <t>{'t': 10, 't_prep': 1, 'soc_loss': 0.0, 'accumulation_rate': 0.5771599999999999, 'transition_years': 20}</t>
        </is>
      </c>
      <c r="F36" t="inlineStr">
        <is>
          <t>0.5771599999999999</t>
        </is>
      </c>
      <c r="G36" t="inlineStr">
        <is>
          <t>E-AR6-04</t>
        </is>
      </c>
      <c r="H36" t="inlineStr">
        <is>
          <t>dSOC_t,i by project year t</t>
        </is>
      </c>
    </row>
    <row r="37">
      <c r="A37" t="inlineStr">
        <is>
          <t>a6736b48-315e-43e8-832d-f8a75ed662dd</t>
        </is>
      </c>
      <c r="B37" t="inlineStr">
        <is>
          <t>BM-T-AR-0006</t>
        </is>
      </c>
      <c r="C37" t="inlineStr">
        <is>
          <t>Eq. 4_5_6</t>
        </is>
      </c>
      <c r="D37" t="n">
        <v>6</v>
      </c>
      <c r="E37" t="inlineStr">
        <is>
          <t>{'t': 11, 't_prep': 1, 'soc_loss': 0.0, 'accumulation_rate': 0.5771599999999999, 'transition_years': 20}</t>
        </is>
      </c>
      <c r="F37" t="inlineStr">
        <is>
          <t>0.5771599999999999</t>
        </is>
      </c>
      <c r="G37" t="inlineStr">
        <is>
          <t>E-AR6-04</t>
        </is>
      </c>
      <c r="H37" t="inlineStr">
        <is>
          <t>dSOC_t,i by project year t</t>
        </is>
      </c>
    </row>
    <row r="38">
      <c r="A38" t="inlineStr">
        <is>
          <t>a156372a-383b-4234-8c36-4cede21bdf9a</t>
        </is>
      </c>
      <c r="B38" t="inlineStr">
        <is>
          <t>BM-T-AR-0006</t>
        </is>
      </c>
      <c r="C38" t="inlineStr">
        <is>
          <t>Eq. 4_5_6</t>
        </is>
      </c>
      <c r="D38" t="n">
        <v>6</v>
      </c>
      <c r="E38" t="inlineStr">
        <is>
          <t>{'t': 12, 't_prep': 1, 'soc_loss': 0.0, 'accumulation_rate': 0.5771599999999999, 'transition_years': 20}</t>
        </is>
      </c>
      <c r="F38" t="inlineStr">
        <is>
          <t>0.5771599999999999</t>
        </is>
      </c>
      <c r="G38" t="inlineStr">
        <is>
          <t>E-AR6-04</t>
        </is>
      </c>
      <c r="H38" t="inlineStr">
        <is>
          <t>dSOC_t,i by project year t</t>
        </is>
      </c>
    </row>
    <row r="39">
      <c r="A39" t="inlineStr">
        <is>
          <t>4612b02f-0fe3-4395-b010-c535e87ac827</t>
        </is>
      </c>
      <c r="B39" t="inlineStr">
        <is>
          <t>BM-T-AR-0006</t>
        </is>
      </c>
      <c r="C39" t="inlineStr">
        <is>
          <t>Eq. 4_5_6</t>
        </is>
      </c>
      <c r="D39" t="n">
        <v>6</v>
      </c>
      <c r="E39" t="inlineStr">
        <is>
          <t>{'t': 13, 't_prep': 1, 'soc_loss': 0.0, 'accumulation_rate': 0.5771599999999999, 'transition_years': 20}</t>
        </is>
      </c>
      <c r="F39" t="inlineStr">
        <is>
          <t>0.5771599999999999</t>
        </is>
      </c>
      <c r="G39" t="inlineStr">
        <is>
          <t>E-AR6-04</t>
        </is>
      </c>
      <c r="H39" t="inlineStr">
        <is>
          <t>dSOC_t,i by project year t</t>
        </is>
      </c>
    </row>
    <row r="40">
      <c r="A40" t="inlineStr">
        <is>
          <t>0d03acf3-3337-4f86-bb2f-c48b3a8ba2d6</t>
        </is>
      </c>
      <c r="B40" t="inlineStr">
        <is>
          <t>BM-T-AR-0006</t>
        </is>
      </c>
      <c r="C40" t="inlineStr">
        <is>
          <t>Eq. 4_5_6</t>
        </is>
      </c>
      <c r="D40" t="n">
        <v>6</v>
      </c>
      <c r="E40" t="inlineStr">
        <is>
          <t>{'t': 14, 't_prep': 1, 'soc_loss': 0.0, 'accumulation_rate': 0.5771599999999999, 'transition_years': 20}</t>
        </is>
      </c>
      <c r="F40" t="inlineStr">
        <is>
          <t>0.5771599999999999</t>
        </is>
      </c>
      <c r="G40" t="inlineStr">
        <is>
          <t>E-AR6-04</t>
        </is>
      </c>
      <c r="H40" t="inlineStr">
        <is>
          <t>dSOC_t,i by project year t</t>
        </is>
      </c>
    </row>
    <row r="41">
      <c r="A41" t="inlineStr">
        <is>
          <t>935c6388-cc5c-4d94-9d50-5ae25cb611e9</t>
        </is>
      </c>
      <c r="B41" t="inlineStr">
        <is>
          <t>BM-T-AR-0006</t>
        </is>
      </c>
      <c r="C41" t="inlineStr">
        <is>
          <t>Eq. 4_5_6</t>
        </is>
      </c>
      <c r="D41" t="n">
        <v>6</v>
      </c>
      <c r="E41" t="inlineStr">
        <is>
          <t>{'t': 15, 't_prep': 1, 'soc_loss': 0.0, 'accumulation_rate': 0.5771599999999999, 'transition_years': 20}</t>
        </is>
      </c>
      <c r="F41" t="inlineStr">
        <is>
          <t>0.5771599999999999</t>
        </is>
      </c>
      <c r="G41" t="inlineStr">
        <is>
          <t>E-AR6-04</t>
        </is>
      </c>
      <c r="H41" t="inlineStr">
        <is>
          <t>dSOC_t,i by project year t</t>
        </is>
      </c>
    </row>
    <row r="42">
      <c r="A42" t="inlineStr">
        <is>
          <t>7ec1812b-da33-4b33-87ab-7060adaeaa97</t>
        </is>
      </c>
      <c r="B42" t="inlineStr">
        <is>
          <t>BM-T-AR-0006</t>
        </is>
      </c>
      <c r="C42" t="inlineStr">
        <is>
          <t>Eq. 4_5_6</t>
        </is>
      </c>
      <c r="D42" t="n">
        <v>6</v>
      </c>
      <c r="E42" t="inlineStr">
        <is>
          <t>{'t': 16, 't_prep': 1, 'soc_loss': 0.0, 'accumulation_rate': 0.5771599999999999, 'transition_years': 20}</t>
        </is>
      </c>
      <c r="F42" t="inlineStr">
        <is>
          <t>0.5771599999999999</t>
        </is>
      </c>
      <c r="G42" t="inlineStr">
        <is>
          <t>E-AR6-04</t>
        </is>
      </c>
      <c r="H42" t="inlineStr">
        <is>
          <t>dSOC_t,i by project year t</t>
        </is>
      </c>
    </row>
    <row r="43">
      <c r="A43" t="inlineStr">
        <is>
          <t>c73bfc2b-168f-4805-b671-c82f815947df</t>
        </is>
      </c>
      <c r="B43" t="inlineStr">
        <is>
          <t>BM-T-AR-0006</t>
        </is>
      </c>
      <c r="C43" t="inlineStr">
        <is>
          <t>Eq. 4_5_6</t>
        </is>
      </c>
      <c r="D43" t="n">
        <v>6</v>
      </c>
      <c r="E43" t="inlineStr">
        <is>
          <t>{'t': 17, 't_prep': 1, 'soc_loss': 0.0, 'accumulation_rate': 0.5771599999999999, 'transition_years': 20}</t>
        </is>
      </c>
      <c r="F43" t="inlineStr">
        <is>
          <t>0.5771599999999999</t>
        </is>
      </c>
      <c r="G43" t="inlineStr">
        <is>
          <t>E-AR6-04</t>
        </is>
      </c>
      <c r="H43" t="inlineStr">
        <is>
          <t>dSOC_t,i by project year t</t>
        </is>
      </c>
    </row>
    <row r="44">
      <c r="A44" t="inlineStr">
        <is>
          <t>94351efd-da8f-4cfe-b67a-f694f8b5ad5a</t>
        </is>
      </c>
      <c r="B44" t="inlineStr">
        <is>
          <t>BM-T-AR-0006</t>
        </is>
      </c>
      <c r="C44" t="inlineStr">
        <is>
          <t>Eq. 4_5_6</t>
        </is>
      </c>
      <c r="D44" t="n">
        <v>6</v>
      </c>
      <c r="E44" t="inlineStr">
        <is>
          <t>{'t': 18, 't_prep': 1, 'soc_loss': 0.0, 'accumulation_rate': 0.5771599999999999, 'transition_years': 20}</t>
        </is>
      </c>
      <c r="F44" t="inlineStr">
        <is>
          <t>0.5771599999999999</t>
        </is>
      </c>
      <c r="G44" t="inlineStr">
        <is>
          <t>E-AR6-04</t>
        </is>
      </c>
      <c r="H44" t="inlineStr">
        <is>
          <t>dSOC_t,i by project year t</t>
        </is>
      </c>
    </row>
    <row r="45">
      <c r="A45" t="inlineStr">
        <is>
          <t>cea7267f-70ee-45df-8ca4-e2f3898cdb88</t>
        </is>
      </c>
      <c r="B45" t="inlineStr">
        <is>
          <t>BM-T-AR-0006</t>
        </is>
      </c>
      <c r="C45" t="inlineStr">
        <is>
          <t>Eq. 4_5_6</t>
        </is>
      </c>
      <c r="D45" t="n">
        <v>6</v>
      </c>
      <c r="E45" t="inlineStr">
        <is>
          <t>{'t': 19, 't_prep': 1, 'soc_loss': 0.0, 'accumulation_rate': 0.5771599999999999, 'transition_years': 20}</t>
        </is>
      </c>
      <c r="F45" t="inlineStr">
        <is>
          <t>0.5771599999999999</t>
        </is>
      </c>
      <c r="G45" t="inlineStr">
        <is>
          <t>E-AR6-04</t>
        </is>
      </c>
      <c r="H45" t="inlineStr">
        <is>
          <t>dSOC_t,i by project year t</t>
        </is>
      </c>
    </row>
    <row r="46">
      <c r="A46" t="inlineStr">
        <is>
          <t>764d7c99-a532-48f8-9589-a54efa59043d</t>
        </is>
      </c>
      <c r="B46" t="inlineStr">
        <is>
          <t>BM-T-AR-0006</t>
        </is>
      </c>
      <c r="C46" t="inlineStr">
        <is>
          <t>Eq. 4_5_6</t>
        </is>
      </c>
      <c r="D46" t="n">
        <v>6</v>
      </c>
      <c r="E46" t="inlineStr">
        <is>
          <t>{'t': 20, 't_prep': 1, 'soc_loss': 0.0, 'accumulation_rate': 0.5771599999999999, 'transition_years': 20}</t>
        </is>
      </c>
      <c r="F46" t="inlineStr">
        <is>
          <t>0.5771599999999999</t>
        </is>
      </c>
      <c r="G46" t="inlineStr">
        <is>
          <t>E-AR6-04</t>
        </is>
      </c>
      <c r="H46" t="inlineStr">
        <is>
          <t>dSOC_t,i by project year t</t>
        </is>
      </c>
    </row>
    <row r="47">
      <c r="A47" t="inlineStr">
        <is>
          <t>71a7ba12-4b54-4ed8-9c65-a0e26d1ca667</t>
        </is>
      </c>
      <c r="B47" t="inlineStr">
        <is>
          <t>BM-T-AR-0006</t>
        </is>
      </c>
      <c r="C47" t="inlineStr">
        <is>
          <t>Eq. 4_5_6</t>
        </is>
      </c>
      <c r="D47" t="n">
        <v>6</v>
      </c>
      <c r="E47" t="inlineStr">
        <is>
          <t>{'t': 21, 't_prep': 1, 'soc_loss': 0.0, 'accumulation_rate': 0.5771599999999999, 'transition_years': 20}</t>
        </is>
      </c>
      <c r="F47" t="inlineStr">
        <is>
          <t>0.5771599999999999</t>
        </is>
      </c>
      <c r="G47" t="inlineStr">
        <is>
          <t>E-AR6-04</t>
        </is>
      </c>
      <c r="H47" t="inlineStr">
        <is>
          <t>dSOC_t,i by project year t</t>
        </is>
      </c>
    </row>
    <row r="48">
      <c r="A48" t="inlineStr">
        <is>
          <t>42f99570-5776-47a7-b8af-296e5194b2eb</t>
        </is>
      </c>
      <c r="B48" t="inlineStr">
        <is>
          <t>BM-T-AR-0006</t>
        </is>
      </c>
      <c r="C48" t="inlineStr">
        <is>
          <t>Eq. 4_5_6</t>
        </is>
      </c>
      <c r="D48" t="n">
        <v>6</v>
      </c>
      <c r="E48" t="inlineStr">
        <is>
          <t>{'t': 22, 't_prep': 1, 'soc_loss': 0.0, 'accumulation_rate': 0.5771599999999999, 'transition_years': 20}</t>
        </is>
      </c>
      <c r="F48" t="inlineStr">
        <is>
          <t>0.0</t>
        </is>
      </c>
      <c r="G48" t="inlineStr">
        <is>
          <t>E-AR6-04</t>
        </is>
      </c>
      <c r="H48" t="inlineStr">
        <is>
          <t>dSOC_t,i by project year t</t>
        </is>
      </c>
    </row>
    <row r="49">
      <c r="A49" t="inlineStr">
        <is>
          <t>eabb23e0-59ad-4b92-8c3e-bae428c6e411</t>
        </is>
      </c>
      <c r="B49" t="inlineStr">
        <is>
          <t>BM-T-AR-0006</t>
        </is>
      </c>
      <c r="C49" t="inlineStr">
        <is>
          <t>Eq. 4_5_6</t>
        </is>
      </c>
      <c r="D49" t="n">
        <v>6</v>
      </c>
      <c r="E49" t="inlineStr">
        <is>
          <t>{'t': 23, 't_prep': 1, 'soc_loss': 0.0, 'accumulation_rate': 0.5771599999999999, 'transition_years': 20}</t>
        </is>
      </c>
      <c r="F49" t="inlineStr">
        <is>
          <t>0.0</t>
        </is>
      </c>
      <c r="G49" t="inlineStr">
        <is>
          <t>E-AR6-04</t>
        </is>
      </c>
      <c r="H49" t="inlineStr">
        <is>
          <t>dSOC_t,i by project year t</t>
        </is>
      </c>
    </row>
    <row r="50">
      <c r="A50" t="inlineStr">
        <is>
          <t>e8a1bd00-7f22-4341-948e-043c312c1d1d</t>
        </is>
      </c>
      <c r="B50" t="inlineStr">
        <is>
          <t>BM-T-AR-0006</t>
        </is>
      </c>
      <c r="C50" t="inlineStr">
        <is>
          <t>Eq. 8</t>
        </is>
      </c>
      <c r="D50" t="n">
        <v>7</v>
      </c>
      <c r="E50" t="inlineStr">
        <is>
          <t>{'stratum_areas_ha': [125.0], 'dsoc_rates_t_c_ha_yr': [-0.0]}</t>
        </is>
      </c>
      <c r="F50" t="inlineStr">
        <is>
          <t>0.0</t>
        </is>
      </c>
      <c r="G50" t="inlineStr"/>
      <c r="H50" t="inlineStr">
        <is>
          <t>Delta_SOC_AL,t = 44/12 * sum_i (A_i * dSOC_t,i * 1_year)</t>
        </is>
      </c>
    </row>
    <row r="51">
      <c r="A51" t="inlineStr">
        <is>
          <t>0dd243d3-e286-4082-a84e-85d2fcdcedbf</t>
        </is>
      </c>
      <c r="B51" t="inlineStr">
        <is>
          <t>BM-T-AR-0006</t>
        </is>
      </c>
      <c r="C51" t="inlineStr">
        <is>
          <t>Eq. 8</t>
        </is>
      </c>
      <c r="D51" t="n">
        <v>7</v>
      </c>
      <c r="E51" t="inlineStr">
        <is>
          <t>{'stratum_areas_ha': [125.0], 'dsoc_rates_t_c_ha_yr': [0.5771599999999999]}</t>
        </is>
      </c>
      <c r="F51" t="inlineStr">
        <is>
          <t>264.5316666666666</t>
        </is>
      </c>
      <c r="G51" t="inlineStr"/>
      <c r="H51" t="inlineStr">
        <is>
          <t>Delta_SOC_AL,t = 44/12 * sum_i (A_i * dSOC_t,i * 1_year)</t>
        </is>
      </c>
    </row>
    <row r="52">
      <c r="A52" t="inlineStr">
        <is>
          <t>94ea9678-083a-4def-ac2b-4cd4f583c8c8</t>
        </is>
      </c>
      <c r="B52" t="inlineStr">
        <is>
          <t>BM-T-AR-0006</t>
        </is>
      </c>
      <c r="C52" t="inlineStr">
        <is>
          <t>Eq. 8</t>
        </is>
      </c>
      <c r="D52" t="n">
        <v>7</v>
      </c>
      <c r="E52" t="inlineStr">
        <is>
          <t>{'stratum_areas_ha': [125.0], 'dsoc_rates_t_c_ha_yr': [0.5771599999999999]}</t>
        </is>
      </c>
      <c r="F52" t="inlineStr">
        <is>
          <t>264.5316666666666</t>
        </is>
      </c>
      <c r="G52" t="inlineStr"/>
      <c r="H52" t="inlineStr">
        <is>
          <t>Delta_SOC_AL,t = 44/12 * sum_i (A_i * dSOC_t,i * 1_year)</t>
        </is>
      </c>
    </row>
    <row r="53">
      <c r="A53" t="inlineStr">
        <is>
          <t>c7781506-7af6-40dd-a5a5-ee2b808c583e</t>
        </is>
      </c>
      <c r="B53" t="inlineStr">
        <is>
          <t>BM-T-AR-0006</t>
        </is>
      </c>
      <c r="C53" t="inlineStr">
        <is>
          <t>Eq. 8</t>
        </is>
      </c>
      <c r="D53" t="n">
        <v>7</v>
      </c>
      <c r="E53" t="inlineStr">
        <is>
          <t>{'stratum_areas_ha': [125.0], 'dsoc_rates_t_c_ha_yr': [0.5771599999999999]}</t>
        </is>
      </c>
      <c r="F53" t="inlineStr">
        <is>
          <t>264.5316666666666</t>
        </is>
      </c>
      <c r="G53" t="inlineStr"/>
      <c r="H53" t="inlineStr">
        <is>
          <t>Delta_SOC_AL,t = 44/12 * sum_i (A_i * dSOC_t,i * 1_year)</t>
        </is>
      </c>
    </row>
    <row r="54">
      <c r="A54" t="inlineStr">
        <is>
          <t>3c4188d0-21f7-4240-be47-d60fdedca8f8</t>
        </is>
      </c>
      <c r="B54" t="inlineStr">
        <is>
          <t>BM-T-AR-0006</t>
        </is>
      </c>
      <c r="C54" t="inlineStr">
        <is>
          <t>Eq. 8</t>
        </is>
      </c>
      <c r="D54" t="n">
        <v>7</v>
      </c>
      <c r="E54" t="inlineStr">
        <is>
          <t>{'stratum_areas_ha': [125.0], 'dsoc_rates_t_c_ha_yr': [0.5771599999999999]}</t>
        </is>
      </c>
      <c r="F54" t="inlineStr">
        <is>
          <t>264.5316666666666</t>
        </is>
      </c>
      <c r="G54" t="inlineStr"/>
      <c r="H54" t="inlineStr">
        <is>
          <t>Delta_SOC_AL,t = 44/12 * sum_i (A_i * dSOC_t,i * 1_year)</t>
        </is>
      </c>
    </row>
    <row r="55">
      <c r="A55" t="inlineStr">
        <is>
          <t>fb7fc6f9-efee-462b-bac2-599bf28d5819</t>
        </is>
      </c>
      <c r="B55" t="inlineStr">
        <is>
          <t>BM-T-AR-0006</t>
        </is>
      </c>
      <c r="C55" t="inlineStr">
        <is>
          <t>Eq. 8</t>
        </is>
      </c>
      <c r="D55" t="n">
        <v>7</v>
      </c>
      <c r="E55" t="inlineStr">
        <is>
          <t>{'stratum_areas_ha': [125.0], 'dsoc_rates_t_c_ha_yr': [0.5771599999999999]}</t>
        </is>
      </c>
      <c r="F55" t="inlineStr">
        <is>
          <t>264.5316666666666</t>
        </is>
      </c>
      <c r="G55" t="inlineStr"/>
      <c r="H55" t="inlineStr">
        <is>
          <t>Delta_SOC_AL,t = 44/12 * sum_i (A_i * dSOC_t,i * 1_year)</t>
        </is>
      </c>
    </row>
    <row r="56">
      <c r="A56" t="inlineStr">
        <is>
          <t>957fc7a8-8e1b-4f76-951b-8604f1f7eb23</t>
        </is>
      </c>
      <c r="B56" t="inlineStr">
        <is>
          <t>BM-T-AR-0006</t>
        </is>
      </c>
      <c r="C56" t="inlineStr">
        <is>
          <t>Eq. 8</t>
        </is>
      </c>
      <c r="D56" t="n">
        <v>7</v>
      </c>
      <c r="E56" t="inlineStr">
        <is>
          <t>{'stratum_areas_ha': [125.0], 'dsoc_rates_t_c_ha_yr': [0.5771599999999999]}</t>
        </is>
      </c>
      <c r="F56" t="inlineStr">
        <is>
          <t>264.5316666666666</t>
        </is>
      </c>
      <c r="G56" t="inlineStr"/>
      <c r="H56" t="inlineStr">
        <is>
          <t>Delta_SOC_AL,t = 44/12 * sum_i (A_i * dSOC_t,i * 1_year)</t>
        </is>
      </c>
    </row>
    <row r="57">
      <c r="A57" t="inlineStr">
        <is>
          <t>821a4965-ec0f-411b-9e53-846c62f8af9f</t>
        </is>
      </c>
      <c r="B57" t="inlineStr">
        <is>
          <t>BM-T-AR-0006</t>
        </is>
      </c>
      <c r="C57" t="inlineStr">
        <is>
          <t>Eq. 8</t>
        </is>
      </c>
      <c r="D57" t="n">
        <v>7</v>
      </c>
      <c r="E57" t="inlineStr">
        <is>
          <t>{'stratum_areas_ha': [125.0], 'dsoc_rates_t_c_ha_yr': [0.5771599999999999]}</t>
        </is>
      </c>
      <c r="F57" t="inlineStr">
        <is>
          <t>264.5316666666666</t>
        </is>
      </c>
      <c r="G57" t="inlineStr"/>
      <c r="H57" t="inlineStr">
        <is>
          <t>Delta_SOC_AL,t = 44/12 * sum_i (A_i * dSOC_t,i * 1_year)</t>
        </is>
      </c>
    </row>
    <row r="58">
      <c r="A58" t="inlineStr">
        <is>
          <t>8a5ab015-3ada-4fb1-8262-fb3d272078f2</t>
        </is>
      </c>
      <c r="B58" t="inlineStr">
        <is>
          <t>BM-T-AR-0006</t>
        </is>
      </c>
      <c r="C58" t="inlineStr">
        <is>
          <t>Eq. 8</t>
        </is>
      </c>
      <c r="D58" t="n">
        <v>7</v>
      </c>
      <c r="E58" t="inlineStr">
        <is>
          <t>{'stratum_areas_ha': [125.0], 'dsoc_rates_t_c_ha_yr': [0.5771599999999999]}</t>
        </is>
      </c>
      <c r="F58" t="inlineStr">
        <is>
          <t>264.5316666666666</t>
        </is>
      </c>
      <c r="G58" t="inlineStr"/>
      <c r="H58" t="inlineStr">
        <is>
          <t>Delta_SOC_AL,t = 44/12 * sum_i (A_i * dSOC_t,i * 1_year)</t>
        </is>
      </c>
    </row>
    <row r="59">
      <c r="A59" t="inlineStr">
        <is>
          <t>8dc9fe41-f9ee-4a34-855c-9e1be38d0fa2</t>
        </is>
      </c>
      <c r="B59" t="inlineStr">
        <is>
          <t>BM-T-AR-0006</t>
        </is>
      </c>
      <c r="C59" t="inlineStr">
        <is>
          <t>Eq. 8</t>
        </is>
      </c>
      <c r="D59" t="n">
        <v>7</v>
      </c>
      <c r="E59" t="inlineStr">
        <is>
          <t>{'stratum_areas_ha': [125.0], 'dsoc_rates_t_c_ha_yr': [0.5771599999999999]}</t>
        </is>
      </c>
      <c r="F59" t="inlineStr">
        <is>
          <t>264.5316666666666</t>
        </is>
      </c>
      <c r="G59" t="inlineStr"/>
      <c r="H59" t="inlineStr">
        <is>
          <t>Delta_SOC_AL,t = 44/12 * sum_i (A_i * dSOC_t,i * 1_year)</t>
        </is>
      </c>
    </row>
    <row r="60">
      <c r="A60" t="inlineStr">
        <is>
          <t>5c31f962-4b9d-4e2e-8932-67babac7bb85</t>
        </is>
      </c>
      <c r="B60" t="inlineStr">
        <is>
          <t>BM-T-AR-0006</t>
        </is>
      </c>
      <c r="C60" t="inlineStr">
        <is>
          <t>Eq. 8</t>
        </is>
      </c>
      <c r="D60" t="n">
        <v>7</v>
      </c>
      <c r="E60" t="inlineStr">
        <is>
          <t>{'stratum_areas_ha': [125.0], 'dsoc_rates_t_c_ha_yr': [0.5771599999999999]}</t>
        </is>
      </c>
      <c r="F60" t="inlineStr">
        <is>
          <t>264.5316666666666</t>
        </is>
      </c>
      <c r="G60" t="inlineStr"/>
      <c r="H60" t="inlineStr">
        <is>
          <t>Delta_SOC_AL,t = 44/12 * sum_i (A_i * dSOC_t,i * 1_year)</t>
        </is>
      </c>
    </row>
    <row r="61">
      <c r="A61" t="inlineStr">
        <is>
          <t>22482faf-b136-432f-8355-dd05ea325a14</t>
        </is>
      </c>
      <c r="B61" t="inlineStr">
        <is>
          <t>BM-T-AR-0006</t>
        </is>
      </c>
      <c r="C61" t="inlineStr">
        <is>
          <t>Eq. 8</t>
        </is>
      </c>
      <c r="D61" t="n">
        <v>7</v>
      </c>
      <c r="E61" t="inlineStr">
        <is>
          <t>{'stratum_areas_ha': [125.0], 'dsoc_rates_t_c_ha_yr': [0.5771599999999999]}</t>
        </is>
      </c>
      <c r="F61" t="inlineStr">
        <is>
          <t>264.5316666666666</t>
        </is>
      </c>
      <c r="G61" t="inlineStr"/>
      <c r="H61" t="inlineStr">
        <is>
          <t>Delta_SOC_AL,t = 44/12 * sum_i (A_i * dSOC_t,i * 1_year)</t>
        </is>
      </c>
    </row>
    <row r="62">
      <c r="A62" t="inlineStr">
        <is>
          <t>dee60e0e-fabf-45c4-a072-fb6e6989da34</t>
        </is>
      </c>
      <c r="B62" t="inlineStr">
        <is>
          <t>BM-T-AR-0006</t>
        </is>
      </c>
      <c r="C62" t="inlineStr">
        <is>
          <t>Eq. 8</t>
        </is>
      </c>
      <c r="D62" t="n">
        <v>7</v>
      </c>
      <c r="E62" t="inlineStr">
        <is>
          <t>{'stratum_areas_ha': [125.0], 'dsoc_rates_t_c_ha_yr': [0.5771599999999999]}</t>
        </is>
      </c>
      <c r="F62" t="inlineStr">
        <is>
          <t>264.5316666666666</t>
        </is>
      </c>
      <c r="G62" t="inlineStr"/>
      <c r="H62" t="inlineStr">
        <is>
          <t>Delta_SOC_AL,t = 44/12 * sum_i (A_i * dSOC_t,i * 1_year)</t>
        </is>
      </c>
    </row>
    <row r="63">
      <c r="A63" t="inlineStr">
        <is>
          <t>fef5130a-c267-4231-b5eb-c99446284422</t>
        </is>
      </c>
      <c r="B63" t="inlineStr">
        <is>
          <t>BM-T-AR-0006</t>
        </is>
      </c>
      <c r="C63" t="inlineStr">
        <is>
          <t>Eq. 8</t>
        </is>
      </c>
      <c r="D63" t="n">
        <v>7</v>
      </c>
      <c r="E63" t="inlineStr">
        <is>
          <t>{'stratum_areas_ha': [125.0], 'dsoc_rates_t_c_ha_yr': [0.5771599999999999]}</t>
        </is>
      </c>
      <c r="F63" t="inlineStr">
        <is>
          <t>264.5316666666666</t>
        </is>
      </c>
      <c r="G63" t="inlineStr"/>
      <c r="H63" t="inlineStr">
        <is>
          <t>Delta_SOC_AL,t = 44/12 * sum_i (A_i * dSOC_t,i * 1_year)</t>
        </is>
      </c>
    </row>
    <row r="64">
      <c r="A64" t="inlineStr">
        <is>
          <t>0580fea6-7295-4fd4-aed3-1b58f58ab36a</t>
        </is>
      </c>
      <c r="B64" t="inlineStr">
        <is>
          <t>BM-T-AR-0006</t>
        </is>
      </c>
      <c r="C64" t="inlineStr">
        <is>
          <t>Eq. 8</t>
        </is>
      </c>
      <c r="D64" t="n">
        <v>7</v>
      </c>
      <c r="E64" t="inlineStr">
        <is>
          <t>{'stratum_areas_ha': [125.0], 'dsoc_rates_t_c_ha_yr': [0.5771599999999999]}</t>
        </is>
      </c>
      <c r="F64" t="inlineStr">
        <is>
          <t>264.5316666666666</t>
        </is>
      </c>
      <c r="G64" t="inlineStr"/>
      <c r="H64" t="inlineStr">
        <is>
          <t>Delta_SOC_AL,t = 44/12 * sum_i (A_i * dSOC_t,i * 1_year)</t>
        </is>
      </c>
    </row>
    <row r="65">
      <c r="A65" t="inlineStr">
        <is>
          <t>666fad2c-ad6b-4340-a4fb-d282cc8bf664</t>
        </is>
      </c>
      <c r="B65" t="inlineStr">
        <is>
          <t>BM-T-AR-0006</t>
        </is>
      </c>
      <c r="C65" t="inlineStr">
        <is>
          <t>Eq. 8</t>
        </is>
      </c>
      <c r="D65" t="n">
        <v>7</v>
      </c>
      <c r="E65" t="inlineStr">
        <is>
          <t>{'stratum_areas_ha': [125.0], 'dsoc_rates_t_c_ha_yr': [0.5771599999999999]}</t>
        </is>
      </c>
      <c r="F65" t="inlineStr">
        <is>
          <t>264.5316666666666</t>
        </is>
      </c>
      <c r="G65" t="inlineStr"/>
      <c r="H65" t="inlineStr">
        <is>
          <t>Delta_SOC_AL,t = 44/12 * sum_i (A_i * dSOC_t,i * 1_year)</t>
        </is>
      </c>
    </row>
    <row r="66">
      <c r="A66" t="inlineStr">
        <is>
          <t>15086142-f410-4444-8867-c7121fb899e6</t>
        </is>
      </c>
      <c r="B66" t="inlineStr">
        <is>
          <t>BM-T-AR-0006</t>
        </is>
      </c>
      <c r="C66" t="inlineStr">
        <is>
          <t>Eq. 8</t>
        </is>
      </c>
      <c r="D66" t="n">
        <v>7</v>
      </c>
      <c r="E66" t="inlineStr">
        <is>
          <t>{'stratum_areas_ha': [125.0], 'dsoc_rates_t_c_ha_yr': [0.5771599999999999]}</t>
        </is>
      </c>
      <c r="F66" t="inlineStr">
        <is>
          <t>264.5316666666666</t>
        </is>
      </c>
      <c r="G66" t="inlineStr"/>
      <c r="H66" t="inlineStr">
        <is>
          <t>Delta_SOC_AL,t = 44/12 * sum_i (A_i * dSOC_t,i * 1_year)</t>
        </is>
      </c>
    </row>
    <row r="67">
      <c r="A67" t="inlineStr">
        <is>
          <t>0442a3b6-c58a-4d7a-8bda-3a9469bf714a</t>
        </is>
      </c>
      <c r="B67" t="inlineStr">
        <is>
          <t>BM-T-AR-0006</t>
        </is>
      </c>
      <c r="C67" t="inlineStr">
        <is>
          <t>Eq. 8</t>
        </is>
      </c>
      <c r="D67" t="n">
        <v>7</v>
      </c>
      <c r="E67" t="inlineStr">
        <is>
          <t>{'stratum_areas_ha': [125.0], 'dsoc_rates_t_c_ha_yr': [0.5771599999999999]}</t>
        </is>
      </c>
      <c r="F67" t="inlineStr">
        <is>
          <t>264.5316666666666</t>
        </is>
      </c>
      <c r="G67" t="inlineStr"/>
      <c r="H67" t="inlineStr">
        <is>
          <t>Delta_SOC_AL,t = 44/12 * sum_i (A_i * dSOC_t,i * 1_year)</t>
        </is>
      </c>
    </row>
    <row r="68">
      <c r="A68" t="inlineStr">
        <is>
          <t>1e2562bf-c641-4107-a8aa-9fafc8fb8303</t>
        </is>
      </c>
      <c r="B68" t="inlineStr">
        <is>
          <t>BM-T-AR-0006</t>
        </is>
      </c>
      <c r="C68" t="inlineStr">
        <is>
          <t>Eq. 8</t>
        </is>
      </c>
      <c r="D68" t="n">
        <v>7</v>
      </c>
      <c r="E68" t="inlineStr">
        <is>
          <t>{'stratum_areas_ha': [125.0], 'dsoc_rates_t_c_ha_yr': [0.5771599999999999]}</t>
        </is>
      </c>
      <c r="F68" t="inlineStr">
        <is>
          <t>264.5316666666666</t>
        </is>
      </c>
      <c r="G68" t="inlineStr"/>
      <c r="H68" t="inlineStr">
        <is>
          <t>Delta_SOC_AL,t = 44/12 * sum_i (A_i * dSOC_t,i * 1_year)</t>
        </is>
      </c>
    </row>
    <row r="69">
      <c r="A69" t="inlineStr">
        <is>
          <t>45fb4a13-dc64-4ee7-b4af-e739088d55b2</t>
        </is>
      </c>
      <c r="B69" t="inlineStr">
        <is>
          <t>BM-T-AR-0006</t>
        </is>
      </c>
      <c r="C69" t="inlineStr">
        <is>
          <t>Eq. 8</t>
        </is>
      </c>
      <c r="D69" t="n">
        <v>7</v>
      </c>
      <c r="E69" t="inlineStr">
        <is>
          <t>{'stratum_areas_ha': [125.0], 'dsoc_rates_t_c_ha_yr': [0.5771599999999999]}</t>
        </is>
      </c>
      <c r="F69" t="inlineStr">
        <is>
          <t>264.5316666666666</t>
        </is>
      </c>
      <c r="G69" t="inlineStr"/>
      <c r="H69" t="inlineStr">
        <is>
          <t>Delta_SOC_AL,t = 44/12 * sum_i (A_i * dSOC_t,i * 1_year)</t>
        </is>
      </c>
    </row>
    <row r="70">
      <c r="A70" t="inlineStr">
        <is>
          <t>ba00738c-78b1-40a1-a467-2bb263485cec</t>
        </is>
      </c>
      <c r="B70" t="inlineStr">
        <is>
          <t>BM-T-AR-0006</t>
        </is>
      </c>
      <c r="C70" t="inlineStr">
        <is>
          <t>Eq. 8</t>
        </is>
      </c>
      <c r="D70" t="n">
        <v>7</v>
      </c>
      <c r="E70" t="inlineStr">
        <is>
          <t>{'stratum_areas_ha': [125.0], 'dsoc_rates_t_c_ha_yr': [0.5771599999999999]}</t>
        </is>
      </c>
      <c r="F70" t="inlineStr">
        <is>
          <t>264.5316666666666</t>
        </is>
      </c>
      <c r="G70" t="inlineStr"/>
      <c r="H70" t="inlineStr">
        <is>
          <t>Delta_SOC_AL,t = 44/12 * sum_i (A_i * dSOC_t,i * 1_year)</t>
        </is>
      </c>
    </row>
    <row r="71">
      <c r="A71" t="inlineStr">
        <is>
          <t>9adc25da-9c0e-4ca7-99a7-7b89df775104</t>
        </is>
      </c>
      <c r="B71" t="inlineStr">
        <is>
          <t>BM-T-AR-0006</t>
        </is>
      </c>
      <c r="C71" t="inlineStr">
        <is>
          <t>Eq. 8</t>
        </is>
      </c>
      <c r="D71" t="n">
        <v>7</v>
      </c>
      <c r="E71" t="inlineStr">
        <is>
          <t>{'stratum_areas_ha': [125.0], 'dsoc_rates_t_c_ha_yr': [0.0]}</t>
        </is>
      </c>
      <c r="F71" t="inlineStr">
        <is>
          <t>0.0</t>
        </is>
      </c>
      <c r="G71" t="inlineStr"/>
      <c r="H71" t="inlineStr">
        <is>
          <t>Delta_SOC_AL,t = 44/12 * sum_i (A_i * dSOC_t,i * 1_year)</t>
        </is>
      </c>
    </row>
    <row r="72">
      <c r="A72" t="inlineStr">
        <is>
          <t>9f32690c-b521-4a38-8f7c-cce5de32186c</t>
        </is>
      </c>
      <c r="B72" t="inlineStr">
        <is>
          <t>BM-T-AR-0006</t>
        </is>
      </c>
      <c r="C72" t="inlineStr">
        <is>
          <t>Eq. 8</t>
        </is>
      </c>
      <c r="D72" t="n">
        <v>7</v>
      </c>
      <c r="E72" t="inlineStr">
        <is>
          <t>{'stratum_areas_ha': [125.0], 'dsoc_rates_t_c_ha_yr': [0.0]}</t>
        </is>
      </c>
      <c r="F72" t="inlineStr">
        <is>
          <t>0.0</t>
        </is>
      </c>
      <c r="G72" t="inlineStr"/>
      <c r="H72" t="inlineStr">
        <is>
          <t>Delta_SOC_AL,t = 44/12 * sum_i (A_i * dSOC_t,i * 1_year)</t>
        </is>
      </c>
    </row>
    <row r="73">
      <c r="A73" t="inlineStr">
        <is>
          <t>7e1a1f58-c466-4f5a-92d6-446d4018812e</t>
        </is>
      </c>
      <c r="B73" t="inlineStr">
        <is>
          <t>BM-T-AR-0002</t>
        </is>
      </c>
      <c r="C73" t="inlineStr">
        <is>
          <t>Eq. 1</t>
        </is>
      </c>
      <c r="D73" t="n">
        <v>4</v>
      </c>
      <c r="E73" t="inlineStr">
        <is>
          <t>{'ghg_spf': 0.0, 'ghg_fmf': 0.0, 'ghg_ff': 0.0}</t>
        </is>
      </c>
      <c r="F73" t="inlineStr">
        <is>
          <t>0.0</t>
        </is>
      </c>
      <c r="G73" t="inlineStr"/>
      <c r="H73" t="inlineStr">
        <is>
          <t>GHG_E,t = GHG_SPF,t + GHG_FMF,t + GHG_FF,t</t>
        </is>
      </c>
    </row>
    <row r="74">
      <c r="A74" t="inlineStr">
        <is>
          <t>78a78178-bfcc-44e2-b979-3b4c1a9e50d4</t>
        </is>
      </c>
      <c r="B74" t="inlineStr">
        <is>
          <t>BM-FR05.002</t>
        </is>
      </c>
      <c r="C74" t="inlineStr">
        <is>
          <t>Eq. 1</t>
        </is>
      </c>
      <c r="D74" t="n">
        <v>10</v>
      </c>
      <c r="E74" t="inlineStr">
        <is>
          <t>{'delta_c_tree_bsl': 0.0, 'delta_c_shrub_bsl': 0.0, 'delta_c_dw_bsl': 0.0, 'delta_c_li_bsl': 0.0}</t>
        </is>
      </c>
      <c r="F74" t="inlineStr">
        <is>
          <t>0.0</t>
        </is>
      </c>
      <c r="G74" t="inlineStr"/>
      <c r="H74" t="inlineStr">
        <is>
          <t>Baseline net GHG removals: ΔC_BSL,t = ΔC_TREE_BSL,t + ΔC_SHRUB_BSL,t + ΔC_DW_BSL,t + ΔC_LI_BSL,t</t>
        </is>
      </c>
    </row>
    <row r="75">
      <c r="A75" t="inlineStr">
        <is>
          <t>d80017ea-8487-40a2-8463-1b8adb90a2c3</t>
        </is>
      </c>
      <c r="B75" t="inlineStr">
        <is>
          <t>BM-FR05.002</t>
        </is>
      </c>
      <c r="C75" t="inlineStr">
        <is>
          <t>Eq. 3</t>
        </is>
      </c>
      <c r="D75" t="n">
        <v>11</v>
      </c>
      <c r="E75" t="inlineStr">
        <is>
          <t>{'delta_c_tree_proj': 0.0, 'delta_c_shrub_proj': 0.0, 'delta_c_dw_proj': 10.0, 'delta_c_li_proj': 5.0, 'delta_soc_al': 0.0}</t>
        </is>
      </c>
      <c r="F75" t="inlineStr">
        <is>
          <t>15.0</t>
        </is>
      </c>
      <c r="G75" t="inlineStr"/>
      <c r="H75" t="inlineStr">
        <is>
          <t>Project carbon stock change: ΔC_P,t = ΔC_TREE_PROJ,t + ΔC_SHRUB_PROJ,t + ΔC_DW_PROJ,t + ΔC_LI_PROJ,t + ΔSOC_AL,t</t>
        </is>
      </c>
    </row>
    <row r="76">
      <c r="A76" t="inlineStr">
        <is>
          <t>c0cf6c35-e2f2-4969-ac1a-329935bef184</t>
        </is>
      </c>
      <c r="B76" t="inlineStr">
        <is>
          <t>BM-FR05.002</t>
        </is>
      </c>
      <c r="C76" t="inlineStr">
        <is>
          <t>Eq. 2</t>
        </is>
      </c>
      <c r="D76" t="n">
        <v>11</v>
      </c>
      <c r="E76" t="inlineStr">
        <is>
          <t>{'delta_c_p': 15.0, 'ghg_e': 0.0}</t>
        </is>
      </c>
      <c r="F76" t="inlineStr">
        <is>
          <t>15.0</t>
        </is>
      </c>
      <c r="G76" t="inlineStr"/>
      <c r="H76" t="inlineStr">
        <is>
          <t>Actual net GHG removals: ΔC_ACTUAL,t = ΔC_P,t - GHG_E,t</t>
        </is>
      </c>
    </row>
    <row r="77">
      <c r="A77" t="inlineStr">
        <is>
          <t>8e91b288-eb90-4d8c-bb5b-d4ebb7c36c79</t>
        </is>
      </c>
      <c r="B77" t="inlineStr">
        <is>
          <t>BM-FR05.002</t>
        </is>
      </c>
      <c r="C77" t="inlineStr">
        <is>
          <t>Eq. 5</t>
        </is>
      </c>
      <c r="D77" t="n">
        <v>12</v>
      </c>
      <c r="E77" t="inlineStr">
        <is>
          <t>{'delta_c_actual': 15.0, 'delta_c_bsl': 0.0, 'leakage': 0.0}</t>
        </is>
      </c>
      <c r="F77" t="inlineStr">
        <is>
          <t>15.0</t>
        </is>
      </c>
      <c r="G77" t="inlineStr"/>
      <c r="H77" t="inlineStr">
        <is>
          <t>Net anthropogenic GHG removals by sinks: ΔC_AR,t = ΔC_ACTUAL,t - ΔC_BSL,t - LK_t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2026-10-22T15:33:25Z</dcterms:created>
  <dcterms:modified xmlns:dcterms="http://purl.org/dc/terms/" xmlns:xsi="http://www.w3.org/2001/XMLSchema-instance" xsi:type="dcterms:W3CDTF">2026-10-22T15:33:25Z</dcterms:modified>
</cp:coreProperties>
</file>